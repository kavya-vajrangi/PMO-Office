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ist" sheetId="1" r:id="rId4"/>
    <sheet state="visible" name="Inventory pick list" sheetId="2" r:id="rId5"/>
    <sheet state="visible" name="Bin lookup" sheetId="3" r:id="rId6"/>
  </sheets>
  <definedNames/>
  <calcPr/>
</workbook>
</file>

<file path=xl/sharedStrings.xml><?xml version="1.0" encoding="utf-8"?>
<sst xmlns="http://schemas.openxmlformats.org/spreadsheetml/2006/main" count="105" uniqueCount="65">
  <si>
    <t>INVENTORY LIST</t>
  </si>
  <si>
    <t>TOTAL INVENTORY VALUE:</t>
  </si>
  <si>
    <t>INVENTORY ITEMS:</t>
  </si>
  <si>
    <t>BIN COUNT:</t>
  </si>
  <si>
    <t>SKU</t>
  </si>
  <si>
    <t>DESCRIPTION</t>
  </si>
  <si>
    <t>BIN #</t>
  </si>
  <si>
    <t>LOCATION</t>
  </si>
  <si>
    <t>UNIT</t>
  </si>
  <si>
    <t>QTY</t>
  </si>
  <si>
    <t>REORDER QTY</t>
  </si>
  <si>
    <t>COST</t>
  </si>
  <si>
    <t>INVENTORY VALUE</t>
  </si>
  <si>
    <t>REORDER</t>
  </si>
  <si>
    <t>SP7875</t>
  </si>
  <si>
    <t>Item 1</t>
  </si>
  <si>
    <t>T345</t>
  </si>
  <si>
    <t>Each</t>
  </si>
  <si>
    <t>TR87680</t>
  </si>
  <si>
    <t>Item 2</t>
  </si>
  <si>
    <t>MK676554</t>
  </si>
  <si>
    <t>Item 3</t>
  </si>
  <si>
    <t>T5789</t>
  </si>
  <si>
    <t>YE98767</t>
  </si>
  <si>
    <t>Item 4</t>
  </si>
  <si>
    <t>T9876</t>
  </si>
  <si>
    <t>Box (10 ct)</t>
  </si>
  <si>
    <t>XR23423</t>
  </si>
  <si>
    <t>Item 5</t>
  </si>
  <si>
    <t>T098</t>
  </si>
  <si>
    <t>PW98762</t>
  </si>
  <si>
    <t>Item 6</t>
  </si>
  <si>
    <t>BM87684</t>
  </si>
  <si>
    <t>Item 7</t>
  </si>
  <si>
    <t>T349</t>
  </si>
  <si>
    <t>BH67655</t>
  </si>
  <si>
    <t>Item 8</t>
  </si>
  <si>
    <t>WT98768</t>
  </si>
  <si>
    <t>Item 9</t>
  </si>
  <si>
    <t>T9875</t>
  </si>
  <si>
    <t>Package (5 ct)</t>
  </si>
  <si>
    <t>TS3456</t>
  </si>
  <si>
    <t>Item 10</t>
  </si>
  <si>
    <t>WDG123</t>
  </si>
  <si>
    <t>Item 11</t>
  </si>
  <si>
    <t>INVENTORY PICK LIST</t>
  </si>
  <si>
    <t>ORDER #</t>
  </si>
  <si>
    <t>PICK QTY</t>
  </si>
  <si>
    <t>QTY AVAILABLE</t>
  </si>
  <si>
    <t>ITEM DESCRIPTION</t>
  </si>
  <si>
    <t>TP001-1</t>
  </si>
  <si>
    <t>BIN LOOKUP</t>
  </si>
  <si>
    <t>WIDTH</t>
  </si>
  <si>
    <t>HEIGHT</t>
  </si>
  <si>
    <t>LENGTH</t>
  </si>
  <si>
    <t>Large bin</t>
  </si>
  <si>
    <t>Row 2, slot 1</t>
  </si>
  <si>
    <t>Small bin</t>
  </si>
  <si>
    <t>Row 1, slot 1</t>
  </si>
  <si>
    <t>Row 3, slot 2</t>
  </si>
  <si>
    <t>Medium bin</t>
  </si>
  <si>
    <t>Row 3, slot 1</t>
  </si>
  <si>
    <t>Row 1, slot 2</t>
  </si>
  <si>
    <t>Row 4, slot 5</t>
  </si>
  <si>
    <t>Row 2, slot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</si>
</sst>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\(&quot;$&quot;#,##0.00\)"/>
    <numFmt numFmtId="165" formatCode="&quot;Reorder&quot;;&quot;&quot;;&quot;&quot;"/>
  </numFmts>
  <fonts count="11">
    <font>
      <sz val="11.0"/>
      <color rgb="FF262626"/>
      <name val="Arial"/>
      <scheme val="minor"/>
    </font>
    <font>
      <sz val="11.0"/>
      <color rgb="FF262626"/>
      <name val="Avenir"/>
    </font>
    <font>
      <b/>
      <sz val="50.0"/>
      <color rgb="FF2B7376"/>
      <name val="Avenir"/>
    </font>
    <font>
      <b/>
      <sz val="26.0"/>
      <color rgb="FF262626"/>
      <name val="Avenir"/>
    </font>
    <font>
      <sz val="14.0"/>
      <color rgb="FF2B7376"/>
      <name val="Avenir"/>
    </font>
    <font/>
    <font>
      <b/>
      <sz val="11.0"/>
      <color rgb="FF262626"/>
      <name val="Avenir"/>
    </font>
    <font>
      <sz val="11.0"/>
      <color/>
      <name val="Avenir"/>
    </font>
    <font>
      <b/>
      <sz val="50.0"/>
      <color rgb="FF7F420C"/>
      <name val="Avenir"/>
    </font>
    <font>
      <b/>
      <sz val="50.0"/>
      <color rgb="FF9E1A1C"/>
      <name val="Avenir"/>
    </font>
    <font>
      <sz val="11.0"/>
      <color rgb="FFFFFFFF"/>
      <name val="Avenir"/>
    </font>
  </fonts>
  <fills count="5">
    <fill>
      <patternFill patternType="none"/>
    </fill>
    <fill>
      <patternFill patternType="lightGray"/>
    </fill>
    <fill>
      <patternFill patternType="solid">
        <fgColor rgb="FFE3F4F4"/>
        <bgColor rgb="FFE3F4F4"/>
      </patternFill>
    </fill>
    <fill>
      <patternFill patternType="solid">
        <fgColor rgb="FFFAE6D4"/>
        <bgColor rgb="FFFAE6D4"/>
      </patternFill>
    </fill>
    <fill>
      <patternFill patternType="solid">
        <fgColor rgb="FFFAE6E7"/>
        <bgColor rgb="FFFAE6E7"/>
      </patternFill>
    </fill>
  </fills>
  <borders count="11">
    <border/>
    <border>
      <left/>
      <right/>
      <top/>
      <bottom/>
    </border>
    <border>
      <left/>
      <right/>
      <top/>
      <bottom style="thin">
        <color rgb="FF2B7376"/>
      </bottom>
    </border>
    <border>
      <left/>
      <right/>
      <top style="thin">
        <color rgb="FF2B7376"/>
      </top>
      <bottom/>
    </border>
    <border>
      <left/>
      <top style="thin">
        <color rgb="FF2B7376"/>
      </top>
      <bottom/>
    </border>
    <border>
      <right/>
      <top style="thin">
        <color rgb="FF2B7376"/>
      </top>
      <bottom/>
    </border>
    <border>
      <left/>
      <top/>
      <bottom style="thin">
        <color rgb="FFBF6312"/>
      </bottom>
    </border>
    <border>
      <top/>
      <bottom style="thin">
        <color rgb="FFBF6312"/>
      </bottom>
    </border>
    <border>
      <right/>
      <top/>
      <bottom style="thin">
        <color rgb="FFBF6312"/>
      </bottom>
    </border>
    <border>
      <left/>
      <right/>
      <top/>
      <bottom style="thin">
        <color rgb="FFBF6312"/>
      </bottom>
    </border>
    <border>
      <left/>
      <right/>
      <top/>
      <bottom style="thin">
        <color rgb="FF9E1A1C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left" vertical="center"/>
    </xf>
    <xf borderId="2" fillId="2" fontId="3" numFmtId="0" xfId="0" applyAlignment="1" applyBorder="1" applyFont="1">
      <alignment vertical="bottom"/>
    </xf>
    <xf borderId="2" fillId="2" fontId="3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3" fillId="2" fontId="4" numFmtId="0" xfId="0" applyAlignment="1" applyBorder="1" applyFont="1">
      <alignment horizontal="left" vertical="center"/>
    </xf>
    <xf borderId="3" fillId="2" fontId="4" numFmtId="164" xfId="0" applyAlignment="1" applyBorder="1" applyFont="1" applyNumberFormat="1">
      <alignment horizontal="left" vertical="center"/>
    </xf>
    <xf borderId="4" fillId="2" fontId="4" numFmtId="164" xfId="0" applyAlignment="1" applyBorder="1" applyFont="1" applyNumberFormat="1">
      <alignment horizontal="right" vertical="center"/>
    </xf>
    <xf borderId="5" fillId="0" fontId="5" numFmtId="0" xfId="0" applyAlignment="1" applyBorder="1" applyFont="1">
      <alignment vertical="center"/>
    </xf>
    <xf borderId="1" fillId="2" fontId="4" numFmtId="0" xfId="0" applyAlignment="1" applyBorder="1" applyFont="1">
      <alignment horizontal="left" vertical="center"/>
    </xf>
    <xf borderId="4" fillId="2" fontId="4" numFmtId="0" xfId="0" applyAlignment="1" applyBorder="1" applyFont="1">
      <alignment horizontal="right" vertical="center"/>
    </xf>
    <xf borderId="1" fillId="2" fontId="6" numFmtId="0" xfId="0" applyAlignment="1" applyBorder="1" applyFont="1">
      <alignment vertical="center"/>
    </xf>
    <xf borderId="0" fillId="0" fontId="7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left" shrinkToFit="0" vertical="center" wrapText="1"/>
    </xf>
    <xf borderId="0" fillId="0" fontId="7" numFmtId="1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right" vertical="center"/>
    </xf>
    <xf borderId="0" fillId="0" fontId="7" numFmtId="165" xfId="0" applyAlignment="1" applyFont="1" applyNumberFormat="1">
      <alignment horizontal="center" vertical="center"/>
    </xf>
    <xf borderId="1" fillId="3" fontId="1" numFmtId="0" xfId="0" applyAlignment="1" applyBorder="1" applyFill="1" applyFont="1">
      <alignment vertical="center"/>
    </xf>
    <xf borderId="6" fillId="3" fontId="8" numFmtId="0" xfId="0" applyAlignment="1" applyBorder="1" applyFont="1">
      <alignment horizontal="left" vertical="center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9" fillId="3" fontId="3" numFmtId="0" xfId="0" applyAlignment="1" applyBorder="1" applyFont="1">
      <alignment vertical="center"/>
    </xf>
    <xf borderId="1" fillId="3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left" shrinkToFit="0" vertical="center" wrapText="1"/>
    </xf>
    <xf borderId="0" fillId="0" fontId="1" numFmtId="1" xfId="0" applyAlignment="1" applyFont="1" applyNumberFormat="1">
      <alignment horizontal="center" vertical="center"/>
    </xf>
    <xf borderId="1" fillId="4" fontId="1" numFmtId="0" xfId="0" applyAlignment="1" applyBorder="1" applyFill="1" applyFont="1">
      <alignment vertical="center"/>
    </xf>
    <xf borderId="10" fillId="4" fontId="9" numFmtId="0" xfId="0" applyAlignment="1" applyBorder="1" applyFont="1">
      <alignment horizontal="left" vertical="center"/>
    </xf>
    <xf borderId="10" fillId="4" fontId="3" numFmtId="0" xfId="0" applyAlignment="1" applyBorder="1" applyFont="1">
      <alignment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center" vertical="center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2B7376"/>
          <bgColor rgb="FF2B7376"/>
        </patternFill>
      </fill>
      <border/>
    </dxf>
    <dxf>
      <font/>
      <fill>
        <patternFill patternType="solid">
          <fgColor rgb="FFE3F4F4"/>
          <bgColor rgb="FFE3F4F4"/>
        </patternFill>
      </fill>
      <border/>
    </dxf>
    <dxf>
      <font/>
      <fill>
        <patternFill patternType="solid">
          <fgColor rgb="FFC8E9EA"/>
          <bgColor rgb="FFC8E9EA"/>
        </patternFill>
      </fill>
      <border/>
    </dxf>
    <dxf>
      <font>
        <b/>
        <color rgb="FFFF0000"/>
      </font>
      <fill>
        <patternFill patternType="none"/>
      </fill>
      <border/>
    </dxf>
    <dxf>
      <font/>
      <fill>
        <patternFill patternType="solid">
          <fgColor rgb="FF7F420C"/>
          <bgColor rgb="FF7F420C"/>
        </patternFill>
      </fill>
      <border/>
    </dxf>
    <dxf>
      <font/>
      <fill>
        <patternFill patternType="solid">
          <fgColor rgb="FFFAE6D4"/>
          <bgColor rgb="FFFAE6D4"/>
        </patternFill>
      </fill>
      <border/>
    </dxf>
    <dxf>
      <font/>
      <fill>
        <patternFill patternType="solid">
          <fgColor rgb="FFF6CEAA"/>
          <bgColor rgb="FFF6CEAA"/>
        </patternFill>
      </fill>
      <border/>
    </dxf>
    <dxf>
      <font/>
      <fill>
        <patternFill patternType="solid">
          <fgColor rgb="FF9E1A1C"/>
          <bgColor rgb="FF9E1A1C"/>
        </patternFill>
      </fill>
      <border/>
    </dxf>
    <dxf>
      <font/>
      <fill>
        <patternFill patternType="solid">
          <fgColor rgb="FFFAE6E7"/>
          <bgColor rgb="FFFAE6E7"/>
        </patternFill>
      </fill>
      <border/>
    </dxf>
    <dxf>
      <font/>
      <fill>
        <patternFill patternType="solid">
          <fgColor rgb="FFF6CECF"/>
          <bgColor rgb="FFF6CECF"/>
        </patternFill>
      </fill>
      <border/>
    </dxf>
  </dxfs>
  <tableStyles count="3">
    <tableStyle count="3" pivot="0" name="Inventory list-style">
      <tableStyleElement dxfId="1" type="headerRow"/>
      <tableStyleElement dxfId="2" type="firstRowStripe"/>
      <tableStyleElement dxfId="3" type="secondRowStripe"/>
    </tableStyle>
    <tableStyle count="3" pivot="0" name="Inventory pick list-style">
      <tableStyleElement dxfId="5" type="headerRow"/>
      <tableStyleElement dxfId="6" type="firstRowStripe"/>
      <tableStyleElement dxfId="7" type="secondRowStripe"/>
    </tableStyle>
    <tableStyle count="3" pivot="0" name="Bin lookup-style">
      <tableStyleElement dxfId="8" type="headerRow"/>
      <tableStyleElement dxfId="9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'Inventory Pick List'!A1" TargetMode="External"/><Relationship Id="rId2" Type="http://schemas.openxmlformats.org/officeDocument/2006/relationships/hyperlink" Target="#'Bin Lookup'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'Inventory list'!A1" TargetMode="Externa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#'Inventory list'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57150</xdr:colOff>
      <xdr:row>0</xdr:row>
      <xdr:rowOff>533400</xdr:rowOff>
    </xdr:from>
    <xdr:ext cx="1609725" cy="228600"/>
    <xdr:sp macro="" textlink="">
      <xdr:nvSpPr>
        <xdr:cNvPr descr="Navigation shape to view the Inventory Pick List" id="11" name="Inventory List">
          <a:hlinkClick r:id="rId1" tooltip="Select to view Inventory Pick List worksheet"/>
          <a:extLst>
            <a:ext uri="{FF2B5EF4-FFF2-40B4-BE49-F238E27FC236}"/>
          </a:extLst>
        </xdr:cNvPr>
        <xdr:cNvSpPr/>
      </xdr:nvSpPr>
      <xdr:spPr>
        <a:xfrm>
          <a:off x="12388560" y="539749"/>
          <a:ext cx="1616474" cy="228600"/>
        </a:xfrm>
        <a:prstGeom prst="homePlate">
          <a:avLst/>
        </a:prstGeom>
        <a:solidFill>
          <a:schemeClr val="accent3">
            <a:lumMod val="50000"/>
          </a:schemeClr>
        </a:solidFill>
        <a:effectLst/>
        <a:scene3d>
          <a:camera prst="orthographicFront">
            <a:rot lat="0" lon="0" rev="0"/>
          </a:camera>
          <a:lightRig dir="t" rig="threeP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b="0" i="0" lang="en-US" sz="1000">
              <a:solidFill>
                <a:schemeClr val="lt1"/>
              </a:solidFill>
              <a:latin typeface="Avenir Medium" panose="02000503020000020003" pitchFamily="2" charset="0"/>
              <a:ea typeface="+mn-ea"/>
              <a:cs typeface="+mn-cs"/>
            </a:rPr>
            <a:t>INVENTORY</a:t>
          </a:r>
          <a:r>
            <a:rPr b="0" i="0" lang="en-US" sz="1000">
              <a:solidFill>
                <a:schemeClr val="lt1"/>
              </a:solidFill>
              <a:latin typeface="Avenir Medium" panose="02000503020000020003" pitchFamily="2" charset="0"/>
              <a:ea typeface="+mn-ea"/>
              <a:cs typeface="+mn-cs"/>
            </a:rPr>
            <a:t> PICK </a:t>
          </a:r>
          <a:r>
            <a:rPr b="0" i="0" lang="en-US" sz="1000">
              <a:solidFill>
                <a:schemeClr val="lt1"/>
              </a:solidFill>
              <a:latin typeface="Avenir Medium" panose="02000503020000020003" pitchFamily="2" charset="0"/>
              <a:ea typeface="+mn-ea"/>
              <a:cs typeface="+mn-cs"/>
            </a:rPr>
            <a:t>LIST</a:t>
          </a:r>
        </a:p>
      </xdr:txBody>
    </xdr:sp>
    <xdr:clientData fLocksWithSheet="0"/>
  </xdr:oneCellAnchor>
  <xdr:oneCellAnchor>
    <xdr:from>
      <xdr:col>10</xdr:col>
      <xdr:colOff>9525</xdr:colOff>
      <xdr:row>0</xdr:row>
      <xdr:rowOff>533400</xdr:rowOff>
    </xdr:from>
    <xdr:ext cx="1047750" cy="228600"/>
    <xdr:sp macro="" textlink="">
      <xdr:nvSpPr>
        <xdr:cNvPr descr="Navigation shape to view Bin Lookup" id="12" name="Inventory List">
          <a:hlinkClick r:id="rId2" tooltip="Select to add or modify Bin Lookup information"/>
          <a:extLst>
            <a:ext uri="{FF2B5EF4-FFF2-40B4-BE49-F238E27FC236}"/>
          </a:extLst>
        </xdr:cNvPr>
        <xdr:cNvSpPr/>
      </xdr:nvSpPr>
      <xdr:spPr>
        <a:xfrm>
          <a:off x="14213763" y="539749"/>
          <a:ext cx="1194403" cy="228600"/>
        </a:xfrm>
        <a:prstGeom prst="homePlate">
          <a:avLst/>
        </a:prstGeom>
        <a:solidFill>
          <a:schemeClr val="accent3">
            <a:lumMod val="50000"/>
          </a:schemeClr>
        </a:solidFill>
        <a:effectLst/>
        <a:scene3d>
          <a:camera prst="orthographicFront">
            <a:rot lat="0" lon="0" rev="0"/>
          </a:camera>
          <a:lightRig dir="t" rig="threeP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b="0" i="0" lang="en-US" sz="1100">
              <a:solidFill>
                <a:schemeClr val="lt1"/>
              </a:solidFill>
              <a:latin typeface="Avenir Medium" panose="02000503020000020003" pitchFamily="2" charset="0"/>
              <a:ea typeface="+mn-ea"/>
              <a:cs typeface="+mn-cs"/>
            </a:rPr>
            <a:t>BIN</a:t>
          </a:r>
          <a:r>
            <a:rPr b="0" i="0" lang="en-US" sz="1100">
              <a:solidFill>
                <a:schemeClr val="lt1"/>
              </a:solidFill>
              <a:latin typeface="Avenir Medium" panose="02000503020000020003" pitchFamily="2" charset="0"/>
              <a:ea typeface="+mn-ea"/>
              <a:cs typeface="+mn-cs"/>
            </a:rPr>
            <a:t> </a:t>
          </a:r>
          <a:r>
            <a:rPr b="0" i="0" lang="en-US" sz="1000">
              <a:solidFill>
                <a:schemeClr val="lt1"/>
              </a:solidFill>
              <a:latin typeface="Avenir Medium" panose="02000503020000020003" pitchFamily="2" charset="0"/>
              <a:ea typeface="+mn-ea"/>
              <a:cs typeface="Arial" panose="020B0604020202020204" pitchFamily="34" charset="0"/>
            </a:rPr>
            <a:t>LOOKUP</a:t>
          </a:r>
          <a:endParaRPr b="0" i="0" lang="en-US" sz="1000">
            <a:solidFill>
              <a:schemeClr val="lt1"/>
            </a:solidFill>
            <a:latin typeface="Avenir Medium" panose="02000503020000020003" pitchFamily="2" charset="0"/>
            <a:ea typeface="+mn-ea"/>
            <a:cs typeface="Arial" panose="020B0604020202020204" pitchFamily="34" charset="0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66675</xdr:colOff>
      <xdr:row>0</xdr:row>
      <xdr:rowOff>542925</xdr:rowOff>
    </xdr:from>
    <xdr:ext cx="1533525" cy="228600"/>
    <xdr:sp macro="" textlink="">
      <xdr:nvSpPr>
        <xdr:cNvPr descr="Select to view Inventory List" id="3" name="Inventory List">
          <a:hlinkClick r:id="rId1" tooltip="Click to view the Warehouse Inventory List"/>
          <a:extLst>
            <a:ext uri="{FF2B5EF4-FFF2-40B4-BE49-F238E27FC236}"/>
          </a:extLst>
        </xdr:cNvPr>
        <xdr:cNvSpPr/>
      </xdr:nvSpPr>
      <xdr:spPr>
        <a:xfrm flipH="1">
          <a:off x="10464799" y="549275"/>
          <a:ext cx="1584960" cy="228600"/>
        </a:xfrm>
        <a:prstGeom prst="homePlate">
          <a:avLst/>
        </a:prstGeom>
        <a:solidFill>
          <a:schemeClr val="accent4">
            <a:lumMod val="50000"/>
          </a:schemeClr>
        </a:solidFill>
        <a:effectLst/>
        <a:scene3d>
          <a:camera prst="orthographicFront">
            <a:rot lat="0" lon="0" rev="0"/>
          </a:camera>
          <a:lightRig dir="t" rig="threeP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b="0" i="0" lang="en-US" sz="1000">
              <a:solidFill>
                <a:schemeClr val="lt1"/>
              </a:solidFill>
              <a:latin typeface="Avenir Medium" panose="02000503020000020003" pitchFamily="2" charset="0"/>
              <a:ea typeface="+mn-ea"/>
              <a:cs typeface="+mn-cs"/>
            </a:rPr>
            <a:t>INVENTORY LIST</a:t>
          </a: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1228725</xdr:colOff>
      <xdr:row>0</xdr:row>
      <xdr:rowOff>542925</xdr:rowOff>
    </xdr:from>
    <xdr:ext cx="971550" cy="228600"/>
    <xdr:sp macro="" textlink="">
      <xdr:nvSpPr>
        <xdr:cNvPr descr="Select to view Inventory List" id="2" name="Inventory List">
          <a:hlinkClick r:id="rId1" tooltip="Select to view Inventory List"/>
          <a:extLst>
            <a:ext uri="{FF2B5EF4-FFF2-40B4-BE49-F238E27FC236}"/>
          </a:extLst>
        </xdr:cNvPr>
        <xdr:cNvSpPr/>
      </xdr:nvSpPr>
      <xdr:spPr>
        <a:xfrm flipH="1">
          <a:off x="8029574" y="549275"/>
          <a:ext cx="1289685" cy="228600"/>
        </a:xfrm>
        <a:prstGeom prst="homePlate">
          <a:avLst/>
        </a:prstGeom>
        <a:solidFill>
          <a:schemeClr val="accent6">
            <a:lumMod val="50000"/>
          </a:schemeClr>
        </a:solidFill>
        <a:effectLst/>
        <a:scene3d>
          <a:camera prst="orthographicFront">
            <a:rot lat="0" lon="0" rev="0"/>
          </a:camera>
          <a:lightRig dir="t" rig="threeP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indent="0" lvl="0" marL="0" algn="ctr"/>
          <a:r>
            <a:rPr b="0" i="0" lang="en-US" sz="1000">
              <a:solidFill>
                <a:schemeClr val="lt1"/>
              </a:solidFill>
              <a:latin typeface="Avenir Medium" panose="02000503020000020003" pitchFamily="2" charset="0"/>
              <a:ea typeface="+mn-ea"/>
              <a:cs typeface="+mn-cs"/>
            </a:rPr>
            <a:t>INVENTORY LIST</a:t>
          </a: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B3:K14" displayName="Table_1" name="Table_1" id="1">
  <tableColumns count="10">
    <tableColumn name="SKU" id="1"/>
    <tableColumn name="DESCRIPTION" id="2"/>
    <tableColumn name="BIN #" id="3"/>
    <tableColumn name="LOCATION" id="4"/>
    <tableColumn name="UNIT" id="5"/>
    <tableColumn name="QTY" id="6"/>
    <tableColumn name="REORDER QTY" id="7"/>
    <tableColumn name="COST" id="8"/>
    <tableColumn name="INVENTORY VALUE" id="9"/>
    <tableColumn name="REORDER" id="10"/>
  </tableColumns>
  <tableStyleInfo name="Inventory list-style" showColumnStripes="0" showFirstColumn="1" showLastColumn="1" showRowStripes="1"/>
</table>
</file>

<file path=xl/tables/table2.xml><?xml version="1.0" encoding="utf-8"?>
<table xmlns="http://schemas.openxmlformats.org/spreadsheetml/2006/main" ref="B3:I8" displayName="Table_2" name="Table_2" id="2">
  <tableColumns count="8">
    <tableColumn name="ORDER #" id="1"/>
    <tableColumn name="SKU" id="2"/>
    <tableColumn name="PICK QTY" id="3"/>
    <tableColumn name="QTY AVAILABLE" id="4"/>
    <tableColumn name="ITEM DESCRIPTION" id="5"/>
    <tableColumn name="UNIT" id="6"/>
    <tableColumn name="BIN #" id="7"/>
    <tableColumn name="LOCATION" id="8"/>
  </tableColumns>
  <tableStyleInfo name="Inventory pick list-style" showColumnStripes="0" showFirstColumn="1" showLastColumn="1" showRowStripes="1"/>
</table>
</file>

<file path=xl/tables/table3.xml><?xml version="1.0" encoding="utf-8"?>
<table xmlns="http://schemas.openxmlformats.org/spreadsheetml/2006/main" ref="B3:G10" displayName="Table_3" name="Table_3" id="3">
  <tableColumns count="6">
    <tableColumn name="BIN #" id="1"/>
    <tableColumn name="DESCRIPTION" id="2"/>
    <tableColumn name="LOCATION" id="3"/>
    <tableColumn name="WIDTH" id="4"/>
    <tableColumn name="HEIGHT" id="5"/>
    <tableColumn name="LENGTH" id="6"/>
  </tableColumns>
  <tableStyleInfo name="Bin lookup-style" showColumnStripes="0" showFirstColumn="1" showLastColumn="1" showRowStripes="1"/>
</table>
</file>

<file path=xl/theme/theme11.xml><?xml version="1.0" encoding="utf-8"?>
<a:theme xmlns:a="http://schemas.openxmlformats.org/drawingml/2006/main" xmlns:r="http://schemas.openxmlformats.org/officeDocument/2006/relationships" name="Office Theme">
  <a:themeElements>
    <a:clrScheme name="Warehouse Inventory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Custom 12">
      <a:majorFont>
        <a:latin typeface="Avenir Next LT Pro"/>
        <a:ea typeface=""/>
        <a:cs typeface=""/>
      </a:majorFont>
      <a:minorFont>
        <a:latin typeface="Avenir Next LT Pro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1ADB1"/>
    <pageSetUpPr fitToPage="1"/>
  </sheetPr>
  <sheetViews>
    <sheetView showGridLines="0" workbookViewId="0"/>
  </sheetViews>
  <sheetFormatPr customHeight="1" defaultColWidth="14.43" defaultRowHeight="15.0"/>
  <cols>
    <col customWidth="1" min="1" max="1" width="5.43"/>
    <col customWidth="1" min="2" max="2" width="36.14"/>
    <col customWidth="1" min="3" max="3" width="25.71"/>
    <col customWidth="1" min="4" max="4" width="15.86"/>
    <col customWidth="1" min="5" max="5" width="16.43"/>
    <col customWidth="1" min="6" max="6" width="18.0"/>
    <col customWidth="1" min="7" max="7" width="10.43"/>
    <col customWidth="1" min="8" max="8" width="20.43"/>
    <col customWidth="1" min="9" max="9" width="13.29"/>
    <col customWidth="1" min="10" max="10" width="24.57"/>
    <col customWidth="1" min="11" max="11" width="15.43"/>
    <col customWidth="1" min="12" max="12" width="5.43"/>
    <col customWidth="1" min="13" max="13" width="16.14"/>
    <col customWidth="1" min="14" max="14" width="11.43"/>
    <col customWidth="1" min="15" max="22" width="8.86"/>
  </cols>
  <sheetData>
    <row r="1" ht="90.0" customHeight="1">
      <c r="A1" s="1"/>
      <c r="B1" s="2" t="s">
        <v>0</v>
      </c>
      <c r="C1" s="3"/>
      <c r="D1" s="3"/>
      <c r="E1" s="4"/>
      <c r="F1" s="4"/>
      <c r="G1" s="4"/>
      <c r="H1" s="4"/>
      <c r="I1" s="4"/>
      <c r="J1" s="4"/>
      <c r="K1" s="4"/>
      <c r="L1" s="1"/>
      <c r="M1" s="5"/>
      <c r="N1" s="5"/>
      <c r="O1" s="5"/>
      <c r="P1" s="5"/>
      <c r="Q1" s="5"/>
      <c r="R1" s="5"/>
      <c r="S1" s="5"/>
      <c r="T1" s="5"/>
      <c r="U1" s="5"/>
      <c r="V1" s="5"/>
    </row>
    <row r="2" ht="43.5" customHeight="1">
      <c r="A2" s="1"/>
      <c r="B2" s="6" t="s">
        <v>1</v>
      </c>
      <c r="C2" s="7" t="str">
        <f>SUM('Inventory list'!$J$4:$J$14)</f>
        <v>$4,649.00 </v>
      </c>
      <c r="D2" s="8" t="s">
        <v>2</v>
      </c>
      <c r="E2" s="9"/>
      <c r="F2" s="10" t="str">
        <f>COUNTA('Inventory list'!$C$4:$C$14)</f>
        <v>11</v>
      </c>
      <c r="G2" s="11" t="s">
        <v>3</v>
      </c>
      <c r="H2" s="9"/>
      <c r="I2" s="10" t="str">
        <f t="array" ref="I2">SUMPRODUCT((1/COUNTIF('Inventory list'!$D$4:$D$14,'Inventory list'!$D$4:$D$14&amp;"")))</f>
        <v>6</v>
      </c>
      <c r="J2" s="1"/>
      <c r="K2" s="1"/>
      <c r="L2" s="1"/>
      <c r="M2" s="5"/>
      <c r="N2" s="5"/>
      <c r="O2" s="5"/>
      <c r="P2" s="5"/>
      <c r="Q2" s="5"/>
      <c r="R2" s="5"/>
      <c r="S2" s="5"/>
      <c r="T2" s="5"/>
      <c r="U2" s="5"/>
      <c r="V2" s="5"/>
    </row>
    <row r="3" ht="30.0" customHeight="1">
      <c r="A3" s="12"/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12</v>
      </c>
      <c r="K3" s="13" t="s">
        <v>13</v>
      </c>
      <c r="L3" s="12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ht="30.0" customHeight="1">
      <c r="A4" s="1"/>
      <c r="B4" s="15" t="s">
        <v>14</v>
      </c>
      <c r="C4" s="15" t="s">
        <v>15</v>
      </c>
      <c r="D4" s="15" t="s">
        <v>16</v>
      </c>
      <c r="E4" s="15" t="str">
        <f>IFERROR(VLOOKUP('Inventory list'!$D4,'Bin lookup'!$B$4:$G$10,3,FALSE),"")</f>
        <v>Row 2, slot 1</v>
      </c>
      <c r="F4" s="15" t="s">
        <v>17</v>
      </c>
      <c r="G4" s="16">
        <v>20.0</v>
      </c>
      <c r="H4" s="16">
        <v>10.0</v>
      </c>
      <c r="I4" s="17">
        <v>30.0</v>
      </c>
      <c r="J4" s="17" t="str">
        <f>'Inventory list'!$G4*'Inventory list'!$I4</f>
        <v>$600.00 </v>
      </c>
      <c r="K4" s="18" t="str">
        <f>IFERROR(IF('Inventory list'!$G4&lt;='Inventory list'!$H4,1,0),0)</f>
        <v/>
      </c>
      <c r="L4" s="1"/>
      <c r="M4" s="5"/>
      <c r="N4" s="5"/>
      <c r="O4" s="5"/>
      <c r="P4" s="5"/>
      <c r="Q4" s="5"/>
      <c r="R4" s="5"/>
      <c r="S4" s="5"/>
      <c r="T4" s="5"/>
      <c r="U4" s="5"/>
      <c r="V4" s="5"/>
    </row>
    <row r="5" ht="30.0" customHeight="1">
      <c r="A5" s="1"/>
      <c r="B5" s="15" t="s">
        <v>18</v>
      </c>
      <c r="C5" s="15" t="s">
        <v>19</v>
      </c>
      <c r="D5" s="15" t="s">
        <v>16</v>
      </c>
      <c r="E5" s="15" t="str">
        <f>IFERROR(VLOOKUP('Inventory list'!$D5,'Bin lookup'!$B$4:$G$10,3,FALSE),"")</f>
        <v>Row 2, slot 1</v>
      </c>
      <c r="F5" s="15" t="s">
        <v>17</v>
      </c>
      <c r="G5" s="16">
        <v>30.0</v>
      </c>
      <c r="H5" s="16">
        <v>15.0</v>
      </c>
      <c r="I5" s="17">
        <v>40.0</v>
      </c>
      <c r="J5" s="17" t="str">
        <f>'Inventory list'!$G5*'Inventory list'!$I5</f>
        <v>$1,200.00 </v>
      </c>
      <c r="K5" s="18" t="str">
        <f>IFERROR(IF('Inventory list'!$G5&lt;='Inventory list'!$H5,1,0),0)</f>
        <v/>
      </c>
      <c r="L5" s="1"/>
      <c r="M5" s="5"/>
      <c r="N5" s="5"/>
      <c r="O5" s="5"/>
      <c r="P5" s="5"/>
      <c r="Q5" s="5"/>
      <c r="R5" s="5"/>
      <c r="S5" s="5"/>
      <c r="T5" s="5"/>
      <c r="U5" s="5"/>
      <c r="V5" s="5"/>
    </row>
    <row r="6" ht="30.0" customHeight="1">
      <c r="A6" s="1"/>
      <c r="B6" s="15" t="s">
        <v>20</v>
      </c>
      <c r="C6" s="15" t="s">
        <v>21</v>
      </c>
      <c r="D6" s="15" t="s">
        <v>22</v>
      </c>
      <c r="E6" s="15" t="str">
        <f>IFERROR(VLOOKUP('Inventory list'!$D6,'Bin lookup'!$B$4:$G$10,3,FALSE),"")</f>
        <v>Row 1, slot 1</v>
      </c>
      <c r="F6" s="15" t="s">
        <v>17</v>
      </c>
      <c r="G6" s="16">
        <v>10.0</v>
      </c>
      <c r="H6" s="16">
        <v>5.0</v>
      </c>
      <c r="I6" s="17">
        <v>5.0</v>
      </c>
      <c r="J6" s="17" t="str">
        <f>'Inventory list'!$G6*'Inventory list'!$I6</f>
        <v>$50.00 </v>
      </c>
      <c r="K6" s="18" t="str">
        <f>IFERROR(IF('Inventory list'!$G6&lt;='Inventory list'!$H6,1,0),0)</f>
        <v/>
      </c>
      <c r="L6" s="1"/>
      <c r="M6" s="5"/>
      <c r="N6" s="5"/>
      <c r="O6" s="5"/>
      <c r="P6" s="5"/>
      <c r="Q6" s="5"/>
      <c r="R6" s="5"/>
      <c r="S6" s="5"/>
      <c r="T6" s="5"/>
      <c r="U6" s="5"/>
      <c r="V6" s="5"/>
    </row>
    <row r="7" ht="30.0" customHeight="1">
      <c r="A7" s="1"/>
      <c r="B7" s="15" t="s">
        <v>23</v>
      </c>
      <c r="C7" s="15" t="s">
        <v>24</v>
      </c>
      <c r="D7" s="15" t="s">
        <v>25</v>
      </c>
      <c r="E7" s="15" t="str">
        <f>IFERROR(VLOOKUP('Inventory list'!$D7,'Bin lookup'!$B$4:$G$10,3,FALSE),"")</f>
        <v>Row 3, slot 2</v>
      </c>
      <c r="F7" s="15" t="s">
        <v>26</v>
      </c>
      <c r="G7" s="16">
        <v>40.0</v>
      </c>
      <c r="H7" s="16">
        <v>10.0</v>
      </c>
      <c r="I7" s="17">
        <v>15.0</v>
      </c>
      <c r="J7" s="17" t="str">
        <f>'Inventory list'!$G7*'Inventory list'!$I7</f>
        <v>$600.00 </v>
      </c>
      <c r="K7" s="18" t="str">
        <f>IFERROR(IF('Inventory list'!$G7&lt;='Inventory list'!$H7,1,0),0)</f>
        <v/>
      </c>
      <c r="L7" s="1"/>
      <c r="M7" s="5"/>
      <c r="N7" s="5"/>
      <c r="O7" s="5"/>
      <c r="P7" s="5"/>
      <c r="Q7" s="5"/>
      <c r="R7" s="5"/>
      <c r="S7" s="5"/>
      <c r="T7" s="5"/>
      <c r="U7" s="5"/>
      <c r="V7" s="5"/>
    </row>
    <row r="8" ht="30.0" customHeight="1">
      <c r="A8" s="1"/>
      <c r="B8" s="15" t="s">
        <v>27</v>
      </c>
      <c r="C8" s="15" t="s">
        <v>28</v>
      </c>
      <c r="D8" s="15" t="s">
        <v>29</v>
      </c>
      <c r="E8" s="15" t="str">
        <f>IFERROR(VLOOKUP('Inventory list'!$D8,'Bin lookup'!$B$4:$G$10,3,FALSE),"")</f>
        <v>Row 3, slot 1</v>
      </c>
      <c r="F8" s="15" t="s">
        <v>17</v>
      </c>
      <c r="G8" s="16">
        <v>12.0</v>
      </c>
      <c r="H8" s="16">
        <v>10.0</v>
      </c>
      <c r="I8" s="17">
        <v>26.0</v>
      </c>
      <c r="J8" s="17" t="str">
        <f>'Inventory list'!$G8*'Inventory list'!$I8</f>
        <v>$312.00 </v>
      </c>
      <c r="K8" s="18" t="str">
        <f>IFERROR(IF('Inventory list'!$G8&lt;='Inventory list'!$H8,1,0),0)</f>
        <v/>
      </c>
      <c r="L8" s="1"/>
      <c r="M8" s="5"/>
      <c r="N8" s="5"/>
      <c r="O8" s="5"/>
      <c r="P8" s="5"/>
      <c r="Q8" s="5"/>
      <c r="R8" s="5"/>
      <c r="S8" s="5"/>
      <c r="T8" s="5"/>
      <c r="U8" s="5"/>
      <c r="V8" s="5"/>
    </row>
    <row r="9" ht="30.0" customHeight="1">
      <c r="A9" s="1"/>
      <c r="B9" s="15" t="s">
        <v>30</v>
      </c>
      <c r="C9" s="15" t="s">
        <v>31</v>
      </c>
      <c r="D9" s="15" t="s">
        <v>16</v>
      </c>
      <c r="E9" s="15" t="str">
        <f>IFERROR(VLOOKUP('Inventory list'!$D9,'Bin lookup'!$B$4:$G$10,3,FALSE),"")</f>
        <v>Row 2, slot 1</v>
      </c>
      <c r="F9" s="15" t="s">
        <v>17</v>
      </c>
      <c r="G9" s="16">
        <v>7.0</v>
      </c>
      <c r="H9" s="16">
        <v>10.0</v>
      </c>
      <c r="I9" s="17">
        <v>50.0</v>
      </c>
      <c r="J9" s="17" t="str">
        <f>'Inventory list'!$G9*'Inventory list'!$I9</f>
        <v>$350.00 </v>
      </c>
      <c r="K9" s="18" t="str">
        <f>IFERROR(IF('Inventory list'!$G9&lt;='Inventory list'!$H9,1,0),0)</f>
        <v>Reorder</v>
      </c>
      <c r="L9" s="1"/>
      <c r="M9" s="5"/>
      <c r="N9" s="5"/>
      <c r="O9" s="5"/>
      <c r="P9" s="5"/>
      <c r="Q9" s="5"/>
      <c r="R9" s="5"/>
      <c r="S9" s="5"/>
      <c r="T9" s="5"/>
      <c r="U9" s="5"/>
      <c r="V9" s="5"/>
    </row>
    <row r="10" ht="30.0" customHeight="1">
      <c r="A10" s="1"/>
      <c r="B10" s="15" t="s">
        <v>32</v>
      </c>
      <c r="C10" s="15" t="s">
        <v>33</v>
      </c>
      <c r="D10" s="15" t="s">
        <v>34</v>
      </c>
      <c r="E10" s="15" t="str">
        <f>IFERROR(VLOOKUP('Inventory list'!$D10,'Bin lookup'!$B$4:$G$10,3,FALSE),"")</f>
        <v>Row 1, slot 2</v>
      </c>
      <c r="F10" s="15" t="s">
        <v>17</v>
      </c>
      <c r="G10" s="16">
        <v>10.0</v>
      </c>
      <c r="H10" s="16">
        <v>5.0</v>
      </c>
      <c r="I10" s="17">
        <v>10.0</v>
      </c>
      <c r="J10" s="17" t="str">
        <f>'Inventory list'!$G10*'Inventory list'!$I10</f>
        <v>$100.00 </v>
      </c>
      <c r="K10" s="18" t="str">
        <f>IFERROR(IF('Inventory list'!$G10&lt;='Inventory list'!$H10,1,0),0)</f>
        <v/>
      </c>
      <c r="L10" s="1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ht="30.0" customHeight="1">
      <c r="A11" s="1"/>
      <c r="B11" s="15" t="s">
        <v>35</v>
      </c>
      <c r="C11" s="15" t="s">
        <v>36</v>
      </c>
      <c r="D11" s="15" t="s">
        <v>22</v>
      </c>
      <c r="E11" s="15" t="str">
        <f>IFERROR(VLOOKUP('Inventory list'!$D11,'Bin lookup'!$B$4:$G$10,3,FALSE),"")</f>
        <v>Row 1, slot 1</v>
      </c>
      <c r="F11" s="15" t="s">
        <v>17</v>
      </c>
      <c r="G11" s="16">
        <v>19.0</v>
      </c>
      <c r="H11" s="16">
        <v>10.0</v>
      </c>
      <c r="I11" s="17">
        <v>3.0</v>
      </c>
      <c r="J11" s="17" t="str">
        <f>'Inventory list'!$G11*'Inventory list'!$I11</f>
        <v>$57.00 </v>
      </c>
      <c r="K11" s="18" t="str">
        <f>IFERROR(IF('Inventory list'!$G11&lt;='Inventory list'!$H11,1,0),0)</f>
        <v/>
      </c>
      <c r="L11" s="1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ht="30.0" customHeight="1">
      <c r="A12" s="1"/>
      <c r="B12" s="15" t="s">
        <v>37</v>
      </c>
      <c r="C12" s="15" t="s">
        <v>38</v>
      </c>
      <c r="D12" s="15" t="s">
        <v>39</v>
      </c>
      <c r="E12" s="15" t="str">
        <f>IFERROR(VLOOKUP('Inventory list'!$D12,'Bin lookup'!$B$4:$G$10,3,FALSE),"")</f>
        <v>Row 2, slot 2</v>
      </c>
      <c r="F12" s="15" t="s">
        <v>40</v>
      </c>
      <c r="G12" s="16">
        <v>20.0</v>
      </c>
      <c r="H12" s="16">
        <v>30.0</v>
      </c>
      <c r="I12" s="17">
        <v>14.0</v>
      </c>
      <c r="J12" s="17" t="str">
        <f>'Inventory list'!$G12*'Inventory list'!$I12</f>
        <v>$280.00 </v>
      </c>
      <c r="K12" s="18" t="str">
        <f>IFERROR(IF('Inventory list'!$G12&lt;='Inventory list'!$H12,1,0),0)</f>
        <v>Reorder</v>
      </c>
      <c r="L12" s="1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ht="30.0" customHeight="1">
      <c r="A13" s="1"/>
      <c r="B13" s="15" t="s">
        <v>41</v>
      </c>
      <c r="C13" s="15" t="s">
        <v>42</v>
      </c>
      <c r="D13" s="15" t="s">
        <v>34</v>
      </c>
      <c r="E13" s="15" t="str">
        <f>IFERROR(VLOOKUP('Inventory list'!$D13,'Bin lookup'!$B$4:$G$10,3,FALSE),"")</f>
        <v>Row 1, slot 2</v>
      </c>
      <c r="F13" s="15" t="s">
        <v>17</v>
      </c>
      <c r="G13" s="16">
        <v>15.0</v>
      </c>
      <c r="H13" s="16">
        <v>8.0</v>
      </c>
      <c r="I13" s="17">
        <v>60.0</v>
      </c>
      <c r="J13" s="17" t="str">
        <f>'Inventory list'!$G13*'Inventory list'!$I13</f>
        <v>$900.00 </v>
      </c>
      <c r="K13" s="18" t="str">
        <f>IFERROR(IF('Inventory list'!$G13&lt;='Inventory list'!$H13,1,0),0)</f>
        <v/>
      </c>
      <c r="L13" s="1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ht="30.0" customHeight="1">
      <c r="A14" s="1"/>
      <c r="B14" s="15" t="s">
        <v>43</v>
      </c>
      <c r="C14" s="15" t="s">
        <v>44</v>
      </c>
      <c r="D14" s="15" t="s">
        <v>34</v>
      </c>
      <c r="E14" s="15" t="str">
        <f>IFERROR(VLOOKUP('Inventory list'!$D14,'Bin lookup'!$B$4:$G$10,3,FALSE),"")</f>
        <v>Row 1, slot 2</v>
      </c>
      <c r="F14" s="15" t="s">
        <v>17</v>
      </c>
      <c r="G14" s="16">
        <v>25.0</v>
      </c>
      <c r="H14" s="16">
        <v>15.0</v>
      </c>
      <c r="I14" s="17">
        <v>8.0</v>
      </c>
      <c r="J14" s="17" t="str">
        <f>'Inventory list'!$G14*'Inventory list'!$I14</f>
        <v>$200.00 </v>
      </c>
      <c r="K14" s="18" t="str">
        <f>IFERROR(IF('Inventory list'!$G14&lt;='Inventory list'!$H14,1,0),0)</f>
        <v/>
      </c>
      <c r="L14" s="1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ht="30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30.0" customHeight="1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30.0" customHeight="1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30.0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30.0" customHeigh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30.0" customHeight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30.0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30.0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30.0" customHeight="1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30.0" customHeight="1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30.0" customHeight="1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30.0" customHeight="1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30.0" customHeight="1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30.0" customHeight="1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30.0" customHeight="1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30.0" customHeight="1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30.0" customHeight="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30.0" customHeight="1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30.0" customHeight="1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30.0" customHeight="1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30.0" customHeight="1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</sheetData>
  <mergeCells count="2">
    <mergeCell ref="D2:E2"/>
    <mergeCell ref="G2:H2"/>
  </mergeCells>
  <dataValidations>
    <dataValidation type="list" allowBlank="1" showInputMessage="1" prompt="This Bin # isn't in the list. Select Yes to retain the entry, Cancel to add it to the table on the Bin Lookup worksheet, which will add the Bin # to this drop down list, or No, then ALT + DOWN ARROW to select from the list" sqref="D4:D14">
      <formula1>BinNumber</formula1>
    </dataValidation>
  </dataValidations>
  <printOptions horizontalCentered="1"/>
  <pageMargins bottom="0.75" footer="0.0" header="0.0" left="0.25" right="0.25" top="0.75"/>
  <pageSetup fitToHeight="0" orientation="landscape"/>
  <headerFooter>
    <oddFooter/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B680"/>
    <pageSetUpPr fitToPage="1"/>
  </sheetPr>
  <sheetViews>
    <sheetView showGridLines="0" workbookViewId="0"/>
  </sheetViews>
  <sheetFormatPr customHeight="1" defaultColWidth="14.43" defaultRowHeight="15.0"/>
  <cols>
    <col customWidth="1" min="1" max="1" width="5.43"/>
    <col customWidth="1" min="2" max="2" width="23.14"/>
    <col customWidth="1" min="3" max="3" width="23.86"/>
    <col customWidth="1" min="4" max="4" width="17.14"/>
    <col customWidth="1" min="5" max="5" width="22.0"/>
    <col customWidth="1" min="6" max="6" width="27.14"/>
    <col customWidth="1" min="7" max="7" width="16.43"/>
    <col customWidth="1" min="8" max="8" width="14.71"/>
    <col customWidth="1" min="9" max="9" width="23.86"/>
    <col customWidth="1" min="10" max="10" width="5.43"/>
    <col customWidth="1" min="11" max="11" width="8.86"/>
  </cols>
  <sheetData>
    <row r="1" ht="90.0" customHeight="1">
      <c r="A1" s="19"/>
      <c r="B1" s="20" t="s">
        <v>45</v>
      </c>
      <c r="C1" s="21"/>
      <c r="D1" s="21"/>
      <c r="E1" s="21"/>
      <c r="F1" s="21"/>
      <c r="G1" s="21"/>
      <c r="H1" s="22"/>
      <c r="I1" s="23"/>
      <c r="J1" s="19"/>
      <c r="K1" s="5"/>
    </row>
    <row r="2" ht="43.5" customHeight="1">
      <c r="A2" s="19"/>
      <c r="B2" s="24"/>
      <c r="C2" s="19"/>
      <c r="D2" s="19"/>
      <c r="E2" s="19"/>
      <c r="F2" s="19"/>
      <c r="G2" s="19"/>
      <c r="H2" s="19"/>
      <c r="I2" s="19"/>
      <c r="J2" s="19"/>
      <c r="K2" s="5"/>
    </row>
    <row r="3" ht="30.0" customHeight="1">
      <c r="A3" s="19"/>
      <c r="B3" s="13" t="s">
        <v>46</v>
      </c>
      <c r="C3" s="13" t="s">
        <v>4</v>
      </c>
      <c r="D3" s="13" t="s">
        <v>47</v>
      </c>
      <c r="E3" s="13" t="s">
        <v>48</v>
      </c>
      <c r="F3" s="13" t="s">
        <v>49</v>
      </c>
      <c r="G3" s="13" t="s">
        <v>8</v>
      </c>
      <c r="H3" s="13" t="s">
        <v>6</v>
      </c>
      <c r="I3" s="13" t="s">
        <v>7</v>
      </c>
      <c r="J3" s="19"/>
      <c r="K3" s="5"/>
    </row>
    <row r="4" ht="30.0" customHeight="1">
      <c r="A4" s="19"/>
      <c r="B4" s="25" t="s">
        <v>50</v>
      </c>
      <c r="C4" s="25" t="s">
        <v>14</v>
      </c>
      <c r="D4" s="26">
        <v>3.0</v>
      </c>
      <c r="E4" s="26" t="str">
        <f>IFERROR(VLOOKUP('Inventory pick list'!$C4,'Inventory list'!$B$4:$K$14,6,FALSE),"")</f>
        <v>20</v>
      </c>
      <c r="F4" s="25" t="str">
        <f>IFERROR(VLOOKUP('Inventory pick list'!$C4,'Inventory list'!$B$4:$K$14,2,FALSE),"")</f>
        <v>Item 1</v>
      </c>
      <c r="G4" s="25" t="str">
        <f>IFERROR(VLOOKUP('Inventory pick list'!$C4,'Inventory list'!$B$4:$K$14,5,FALSE),"")</f>
        <v>Each</v>
      </c>
      <c r="H4" s="25" t="str">
        <f>IFERROR(VLOOKUP('Inventory pick list'!$C4,'Inventory list'!$B$4:$K$14,3,FALSE),"")</f>
        <v>T345</v>
      </c>
      <c r="I4" s="25" t="str">
        <f>IFERROR(VLOOKUP('Inventory pick list'!$C4,'Inventory list'!$B$4:$K$14,4,FALSE),"")</f>
        <v>Row 2, slot 1</v>
      </c>
      <c r="J4" s="19"/>
      <c r="K4" s="5"/>
    </row>
    <row r="5" ht="30.0" customHeight="1">
      <c r="A5" s="19"/>
      <c r="B5" s="25" t="s">
        <v>50</v>
      </c>
      <c r="C5" s="25" t="s">
        <v>23</v>
      </c>
      <c r="D5" s="26">
        <v>1.0</v>
      </c>
      <c r="E5" s="26" t="str">
        <f>IFERROR(VLOOKUP('Inventory pick list'!$C5,'Inventory list'!$B$4:$K$14,6,FALSE),"")</f>
        <v>40</v>
      </c>
      <c r="F5" s="25" t="str">
        <f>IFERROR(VLOOKUP('Inventory pick list'!$C5,'Inventory list'!$B$4:$K$14,2,FALSE),"")</f>
        <v>Item 4</v>
      </c>
      <c r="G5" s="25" t="str">
        <f>IFERROR(VLOOKUP('Inventory pick list'!$C5,'Inventory list'!$B$4:$K$14,5,FALSE),"")</f>
        <v>Box (10 ct)</v>
      </c>
      <c r="H5" s="25" t="str">
        <f>IFERROR(VLOOKUP('Inventory pick list'!$C5,'Inventory list'!$B$4:$K$14,3,FALSE),"")</f>
        <v>T9876</v>
      </c>
      <c r="I5" s="25" t="str">
        <f>IFERROR(VLOOKUP('Inventory pick list'!$C5,'Inventory list'!$B$4:$K$14,4,FALSE),"")</f>
        <v>Row 3, slot 2</v>
      </c>
      <c r="J5" s="19"/>
      <c r="K5" s="5"/>
    </row>
    <row r="6" ht="30.0" customHeight="1">
      <c r="A6" s="19"/>
      <c r="B6" s="25" t="s">
        <v>50</v>
      </c>
      <c r="C6" s="25" t="s">
        <v>32</v>
      </c>
      <c r="D6" s="26">
        <v>2.0</v>
      </c>
      <c r="E6" s="26" t="str">
        <f>IFERROR(VLOOKUP('Inventory pick list'!$C6,'Inventory list'!$B$4:$K$14,6,FALSE),"")</f>
        <v>10</v>
      </c>
      <c r="F6" s="25" t="str">
        <f>IFERROR(VLOOKUP('Inventory pick list'!$C6,'Inventory list'!$B$4:$K$14,2,FALSE),"")</f>
        <v>Item 7</v>
      </c>
      <c r="G6" s="25" t="str">
        <f>IFERROR(VLOOKUP('Inventory pick list'!$C6,'Inventory list'!$B$4:$K$14,5,FALSE),"")</f>
        <v>Each</v>
      </c>
      <c r="H6" s="25" t="str">
        <f>IFERROR(VLOOKUP('Inventory pick list'!$C6,'Inventory list'!$B$4:$K$14,3,FALSE),"")</f>
        <v>T349</v>
      </c>
      <c r="I6" s="25" t="str">
        <f>IFERROR(VLOOKUP('Inventory pick list'!$C6,'Inventory list'!$B$4:$K$14,4,FALSE),"")</f>
        <v>Row 1, slot 2</v>
      </c>
      <c r="J6" s="19"/>
      <c r="K6" s="5"/>
    </row>
    <row r="7" ht="30.0" customHeight="1">
      <c r="A7" s="19"/>
      <c r="B7" s="25" t="s">
        <v>50</v>
      </c>
      <c r="C7" s="25" t="s">
        <v>41</v>
      </c>
      <c r="D7" s="26">
        <v>6.0</v>
      </c>
      <c r="E7" s="26" t="str">
        <f>IFERROR(VLOOKUP('Inventory pick list'!$C7,'Inventory list'!$B$4:$K$14,6,FALSE),"")</f>
        <v>15</v>
      </c>
      <c r="F7" s="25" t="str">
        <f>IFERROR(VLOOKUP('Inventory pick list'!$C7,'Inventory list'!$B$4:$K$14,2,FALSE),"")</f>
        <v>Item 10</v>
      </c>
      <c r="G7" s="25" t="str">
        <f>IFERROR(VLOOKUP('Inventory pick list'!$C7,'Inventory list'!$B$4:$K$14,5,FALSE),"")</f>
        <v>Each</v>
      </c>
      <c r="H7" s="25" t="str">
        <f>IFERROR(VLOOKUP('Inventory pick list'!$C7,'Inventory list'!$B$4:$K$14,3,FALSE),"")</f>
        <v>T349</v>
      </c>
      <c r="I7" s="25" t="str">
        <f>IFERROR(VLOOKUP('Inventory pick list'!$C7,'Inventory list'!$B$4:$K$14,4,FALSE),"")</f>
        <v>Row 1, slot 2</v>
      </c>
      <c r="J7" s="19"/>
      <c r="K7" s="5"/>
    </row>
    <row r="8" ht="30.0" customHeight="1">
      <c r="A8" s="19"/>
      <c r="B8" s="25" t="s">
        <v>50</v>
      </c>
      <c r="C8" s="25" t="s">
        <v>20</v>
      </c>
      <c r="D8" s="26">
        <v>3.0</v>
      </c>
      <c r="E8" s="26" t="str">
        <f>IFERROR(VLOOKUP('Inventory pick list'!$C8,'Inventory list'!$B$4:$K$14,6,FALSE),"")</f>
        <v>10</v>
      </c>
      <c r="F8" s="25" t="str">
        <f>IFERROR(VLOOKUP('Inventory pick list'!$C8,'Inventory list'!$B$4:$K$14,2,FALSE),"")</f>
        <v>Item 3</v>
      </c>
      <c r="G8" s="25" t="str">
        <f>IFERROR(VLOOKUP('Inventory pick list'!$C8,'Inventory list'!$B$4:$K$14,5,FALSE),"")</f>
        <v>Each</v>
      </c>
      <c r="H8" s="25" t="str">
        <f>IFERROR(VLOOKUP('Inventory pick list'!$C8,'Inventory list'!$B$4:$K$14,3,FALSE),"")</f>
        <v>T5789</v>
      </c>
      <c r="I8" s="25" t="str">
        <f>IFERROR(VLOOKUP('Inventory pick list'!$C8,'Inventory list'!$B$4:$K$14,4,FALSE),"")</f>
        <v>Row 1, slot 1</v>
      </c>
      <c r="J8" s="19"/>
      <c r="K8" s="5"/>
    </row>
    <row r="9" ht="30.0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5"/>
    </row>
    <row r="10" ht="30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30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30.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ht="30.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ht="30.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ht="30.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ht="30.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ht="30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ht="30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30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30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30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ht="30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30.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30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30.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30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30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30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30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30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30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30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30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30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ht="30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30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30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30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30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ht="30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ht="30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ht="30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ht="30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ht="30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30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30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30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30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30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ht="30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30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ht="30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ht="30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ht="30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30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30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30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30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30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30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30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30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30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ht="30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ht="30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ht="30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ht="30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ht="30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ht="30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ht="30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ht="30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ht="30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ht="30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ht="30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ht="30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ht="30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ht="30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ht="30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ht="30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ht="30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ht="30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ht="30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ht="30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ht="30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ht="30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ht="30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ht="30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ht="30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ht="30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ht="30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ht="30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ht="30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ht="30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ht="30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ht="30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ht="30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ht="30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ht="30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ht="30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ht="30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</sheetData>
  <mergeCells count="1">
    <mergeCell ref="B1:H1"/>
  </mergeCells>
  <conditionalFormatting sqref="E4:E8">
    <cfRule type="expression" dxfId="4" priority="1">
      <formula>D4&gt;E4</formula>
    </cfRule>
  </conditionalFormatting>
  <dataValidations>
    <dataValidation type="custom" allowBlank="1" showInputMessage="1" showErrorMessage="1" prompt="Whoops! - The quantity entered exceeds the Quantity Available. " sqref="D5:D8">
      <formula1>D5&lt;=E5</formula1>
    </dataValidation>
    <dataValidation type="custom" allowBlank="1" showInputMessage="1" showErrorMessage="1" prompt="The quantity entered exceeds the Quantity Available. Enter a PICK QTY less than the QTY AVAILABLE" sqref="D4">
      <formula1>D4&lt;=E4</formula1>
    </dataValidation>
    <dataValidation type="list" allowBlank="1" showInputMessage="1" prompt="Entry isn't from List. Select CANCEL, then press ALT+DOWN ARROW to open drop-down list and ENTER to make selection" sqref="C4:C8">
      <formula1>SKULookup</formula1>
    </dataValidation>
  </dataValidations>
  <printOptions horizontalCentered="1"/>
  <pageMargins bottom="0.75" footer="0.0" header="0.0" left="0.25" right="0.25" top="0.75"/>
  <pageSetup fitToHeight="0" orientation="landscape"/>
  <headerFooter>
    <oddFooter/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363A"/>
    <pageSetUpPr/>
  </sheetPr>
  <sheetViews>
    <sheetView showGridLines="0" workbookViewId="0"/>
  </sheetViews>
  <sheetFormatPr customHeight="1" defaultColWidth="14.43" defaultRowHeight="15.0"/>
  <cols>
    <col customWidth="1" min="1" max="1" width="5.43"/>
    <col customWidth="1" min="2" max="2" width="23.14"/>
    <col customWidth="1" min="3" max="4" width="22.0"/>
    <col customWidth="1" min="5" max="7" width="16.43"/>
    <col customWidth="1" min="8" max="8" width="5.43"/>
    <col customWidth="1" min="9" max="11" width="8.86"/>
  </cols>
  <sheetData>
    <row r="1" ht="90.0" customHeight="1">
      <c r="A1" s="27"/>
      <c r="B1" s="28" t="s">
        <v>51</v>
      </c>
      <c r="C1" s="29"/>
      <c r="D1" s="29"/>
      <c r="E1" s="29"/>
      <c r="F1" s="29"/>
      <c r="G1" s="29"/>
      <c r="H1" s="27"/>
    </row>
    <row r="2" ht="43.5" customHeight="1">
      <c r="A2" s="27"/>
      <c r="B2" s="27"/>
      <c r="C2" s="27"/>
      <c r="D2" s="27"/>
      <c r="E2" s="27"/>
      <c r="F2" s="27"/>
      <c r="G2" s="27"/>
      <c r="H2" s="27"/>
    </row>
    <row r="3" ht="30.0" customHeight="1">
      <c r="A3" s="27"/>
      <c r="B3" s="30" t="s">
        <v>6</v>
      </c>
      <c r="C3" s="30" t="s">
        <v>5</v>
      </c>
      <c r="D3" s="30" t="s">
        <v>7</v>
      </c>
      <c r="E3" s="31" t="s">
        <v>52</v>
      </c>
      <c r="F3" s="31" t="s">
        <v>53</v>
      </c>
      <c r="G3" s="31" t="s">
        <v>54</v>
      </c>
      <c r="H3" s="27"/>
    </row>
    <row r="4" ht="30.0" customHeight="1">
      <c r="A4" s="27"/>
      <c r="B4" s="25" t="s">
        <v>16</v>
      </c>
      <c r="C4" s="25" t="s">
        <v>55</v>
      </c>
      <c r="D4" s="25" t="s">
        <v>56</v>
      </c>
      <c r="E4" s="26">
        <v>50.0</v>
      </c>
      <c r="F4" s="26">
        <v>10.0</v>
      </c>
      <c r="G4" s="26">
        <v>10.0</v>
      </c>
      <c r="H4" s="27"/>
    </row>
    <row r="5" ht="30.0" customHeight="1">
      <c r="A5" s="27"/>
      <c r="B5" s="25" t="s">
        <v>22</v>
      </c>
      <c r="C5" s="25" t="s">
        <v>57</v>
      </c>
      <c r="D5" s="25" t="s">
        <v>58</v>
      </c>
      <c r="E5" s="26">
        <v>25.0</v>
      </c>
      <c r="F5" s="26">
        <v>5.0</v>
      </c>
      <c r="G5" s="26">
        <v>5.0</v>
      </c>
      <c r="H5" s="27"/>
    </row>
    <row r="6" ht="30.0" customHeight="1">
      <c r="A6" s="27"/>
      <c r="B6" s="25" t="s">
        <v>25</v>
      </c>
      <c r="C6" s="25" t="s">
        <v>55</v>
      </c>
      <c r="D6" s="25" t="s">
        <v>59</v>
      </c>
      <c r="E6" s="26">
        <v>50.0</v>
      </c>
      <c r="F6" s="26">
        <v>10.0</v>
      </c>
      <c r="G6" s="26">
        <v>10.0</v>
      </c>
      <c r="H6" s="27"/>
    </row>
    <row r="7" ht="30.0" customHeight="1">
      <c r="A7" s="27"/>
      <c r="B7" s="25" t="s">
        <v>29</v>
      </c>
      <c r="C7" s="25" t="s">
        <v>60</v>
      </c>
      <c r="D7" s="25" t="s">
        <v>61</v>
      </c>
      <c r="E7" s="26">
        <v>30.0</v>
      </c>
      <c r="F7" s="26">
        <v>7.0</v>
      </c>
      <c r="G7" s="26">
        <v>10.0</v>
      </c>
      <c r="H7" s="27"/>
    </row>
    <row r="8" ht="30.0" customHeight="1">
      <c r="A8" s="27"/>
      <c r="B8" s="25" t="s">
        <v>34</v>
      </c>
      <c r="C8" s="25" t="s">
        <v>57</v>
      </c>
      <c r="D8" s="25" t="s">
        <v>62</v>
      </c>
      <c r="E8" s="26">
        <v>25.0</v>
      </c>
      <c r="F8" s="26">
        <v>5.0</v>
      </c>
      <c r="G8" s="26">
        <v>5.0</v>
      </c>
      <c r="H8" s="27"/>
    </row>
    <row r="9" ht="30.0" customHeight="1">
      <c r="A9" s="27"/>
      <c r="B9" s="25" t="s">
        <v>22</v>
      </c>
      <c r="C9" s="25" t="s">
        <v>55</v>
      </c>
      <c r="D9" s="25" t="s">
        <v>63</v>
      </c>
      <c r="E9" s="26">
        <v>50.0</v>
      </c>
      <c r="F9" s="26">
        <v>10.0</v>
      </c>
      <c r="G9" s="26">
        <v>10.0</v>
      </c>
      <c r="H9" s="27"/>
    </row>
    <row r="10" ht="30.0" customHeight="1">
      <c r="A10" s="27"/>
      <c r="B10" s="25" t="s">
        <v>39</v>
      </c>
      <c r="C10" s="25" t="s">
        <v>55</v>
      </c>
      <c r="D10" s="25" t="s">
        <v>64</v>
      </c>
      <c r="E10" s="26">
        <v>50.0</v>
      </c>
      <c r="F10" s="26">
        <v>10.0</v>
      </c>
      <c r="G10" s="26">
        <v>10.0</v>
      </c>
      <c r="H10" s="27"/>
    </row>
    <row r="11" ht="30.0" customHeight="1">
      <c r="A11" s="27"/>
      <c r="B11" s="27"/>
      <c r="C11" s="27"/>
      <c r="D11" s="27"/>
      <c r="E11" s="27"/>
      <c r="F11" s="27"/>
      <c r="G11" s="27"/>
      <c r="H11" s="27"/>
    </row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</sheetData>
  <printOptions horizontalCentered="1"/>
  <pageMargins bottom="0.75" footer="0.0" header="0.0" left="0.25" right="0.25" top="0.75"/>
  <pageSetup orientation="landscape"/>
  <headerFooter>
    <oddFooter/>
  </headerFooter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TM02930030</Template>
  <ScaleCrop>false</ScaleCrop>
  <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baseType="lpstr" size="11">
      <vt:lpstr>Inventory list</vt:lpstr>
      <vt:lpstr>Inventory pick list</vt:lpstr>
      <vt:lpstr>Bin lookup</vt:lpstr>
      <vt:lpstr>BinNumber</vt:lpstr>
      <vt:lpstr>ColumnTitle1</vt:lpstr>
      <vt:lpstr>ColumnTitle2</vt:lpstr>
      <vt:lpstr>ColumnTitle3</vt:lpstr>
      <vt:lpstr>'Bin lookup'!Print_Titles</vt:lpstr>
      <vt:lpstr>'Inventory list'!Print_Titles</vt:lpstr>
      <vt:lpstr>'Inventory pick list'!Print_Titles</vt:lpstr>
      <vt:lpstr>SKULookup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